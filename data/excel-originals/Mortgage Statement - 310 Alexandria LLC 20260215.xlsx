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esktop/Desktop - Lance’s MacBook Pro/Passive Investing Mastery/"/>
    </mc:Choice>
  </mc:AlternateContent>
  <xr:revisionPtr revIDLastSave="0" documentId="13_ncr:1_{EC73753A-6BBA-1744-8AFE-DCD3B4330A88}" xr6:coauthVersionLast="47" xr6:coauthVersionMax="47" xr10:uidLastSave="{00000000-0000-0000-0000-000000000000}"/>
  <bookViews>
    <workbookView xWindow="4980" yWindow="9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" l="1"/>
  <c r="E15" i="2" l="1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<sst xmlns="http://schemas.openxmlformats.org/spreadsheetml/2006/main" count="143" uniqueCount="101">
  <si>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</si>
  <si>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</si>
  <si>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</si>
  <si>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</si>
  <si>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</si>
  <si>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</si>
  <si>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</si>
  <si>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</si>
  <si>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</si>
  <si>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</si>
  <si>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</si>
  <si>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</si>
  <si>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</si>
  <si>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</si>
  <si>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</si>
  <si>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</si>
  <si>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</si>
  <si>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</si>
  <si>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</si>
  <si>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</si>
  <si>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</si>
  <si>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</si>
  <si>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</si>
  <si>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</si>
  <si>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</si>
  <si>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</si>
  <si>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</si>
  <si>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</si>
  <si>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</si>
  <si>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</si>
  <si>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</si>
  <si>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</si>
  <si>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</si>
  <si>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</si>
  <si>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</si>
  <si>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</si>
  <si>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</si>
  <si>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</si>
  <si>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</si>
  <si>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</si>
  <si>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</si>
  <si>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</si>
  <si>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</si>
  <si>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</si>
  <si>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</si>
  <si>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</si>
  <si>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</si>
  <si>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</si>
  <si>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</si>
  <si>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</si>
  <si>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</si>
  <si>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</si>
  <si>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</si>
  <si>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</si>
  <si>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</si>
  <si>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</si>
  <si>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</si>
  <si>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</si>
  <si>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</si>
  <si>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</si>
  <si>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</si>
  <si>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</si>
  <si>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</si>
  <si>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</si>
  <si>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</si>
  <si>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Loan Payment - Oct 2025</t>
  </si>
  <si>
    <t>310 Alexandria LLC</t>
  </si>
  <si>
    <t>310 34th Ave W</t>
  </si>
  <si>
    <t>Alexandria, MN 56308</t>
  </si>
  <si>
    <t>Interest Reserve - Oct 2024</t>
  </si>
  <si>
    <t>Interest Reserve - Nov 2024</t>
  </si>
  <si>
    <t>Interest Reserve - Dec 2024</t>
  </si>
  <si>
    <t>Interest Reserve - Jan 2025</t>
  </si>
  <si>
    <t>Interest Reserve - Feb 2025</t>
  </si>
  <si>
    <t>Interest Reserve - Mar 2025</t>
  </si>
  <si>
    <t>Interest Reserve - Apr 2025</t>
  </si>
  <si>
    <t>Interest Reserve - May 2025</t>
  </si>
  <si>
    <t>Interest Reserve - Jun 2025</t>
  </si>
  <si>
    <t>Interest Reserve - Jul 2025</t>
  </si>
  <si>
    <t>Interest Reserve - Aug 2025</t>
  </si>
  <si>
    <t>Interest Reserve - Sep 2025</t>
  </si>
  <si>
    <t>10/01/2024</t>
  </si>
  <si>
    <t/>
  </si>
  <si>
    <t>Interest Reserve - 310 Alexandria</t>
  </si>
  <si>
    <t>Accrued Interest Income</t>
  </si>
  <si>
    <t>11/01/2024</t>
  </si>
  <si>
    <t>12/01/2024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</si>
  <si>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</si>
  <si>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</si>
  <si>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</si>
  <si>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</si>
  <si>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</si>
  <si>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</si>
  <si>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</si>
  <si>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</si>
  <si>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</si>
  <si>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</si>
  <si>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Loan Payment - Nov 2025</t>
  </si>
  <si>
    <t>Loan Payment - Dec 2025</t>
  </si>
  <si>
    <t>Loan Payment - Jan 2026</t>
  </si>
  <si>
    <t>Mortgage Statement - 2/15/2026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</si>
</sst>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8" fontId="6" fillId="0" borderId="0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5" t="s">
        <v>3</v>
      </c>
      <c r="J20" s="35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6" t="s">
        <v>25</v>
      </c>
      <c r="D40" s="36"/>
      <c r="E40" s="36"/>
      <c r="F40" s="36"/>
      <c r="G40" s="36"/>
      <c r="H40" s="36"/>
      <c r="I40" s="36"/>
      <c r="J40" s="36"/>
    </row>
    <row r="41" spans="3:10" ht="20" customHeight="1" x14ac:dyDescent="0.15">
      <c r="C41" s="37"/>
      <c r="D41" s="37"/>
      <c r="E41" s="37"/>
      <c r="F41" s="37"/>
      <c r="G41" s="37"/>
      <c r="H41" s="37"/>
      <c r="I41" s="37"/>
      <c r="J41" s="37"/>
    </row>
    <row r="42" spans="3:10" ht="20" customHeight="1" x14ac:dyDescent="0.15">
      <c r="C42" s="38"/>
      <c r="D42" s="38"/>
      <c r="E42" s="38"/>
      <c r="F42" s="38"/>
      <c r="G42" s="38"/>
      <c r="H42" s="38"/>
      <c r="I42" s="38"/>
      <c r="J42" s="38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G55"/>
  <sheetViews>
    <sheetView tabSelected="1" zoomScale="141" zoomScaleNormal="141" workbookViewId="0">
      <selection activeCell="F7" sqref="F7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9" t="s">
        <v>100</v>
      </c>
      <c r="C7" s="39"/>
      <c r="D7" s="39"/>
      <c r="E7" s="39"/>
    </row>
    <row r="9" spans="2:5" ht="16" customHeight="1" x14ac:dyDescent="0.15">
      <c r="B9" s="21" t="s">
        <v>15</v>
      </c>
      <c r="C9" s="22" t="s">
        <v>66</v>
      </c>
      <c r="D9" s="21" t="s">
        <v>10</v>
      </c>
      <c r="E9" s="22">
        <v>20250401001</v>
      </c>
    </row>
    <row r="10" spans="2:5" ht="16" customHeight="1" x14ac:dyDescent="0.15">
      <c r="B10" s="22"/>
      <c r="C10" s="22" t="s">
        <v>16</v>
      </c>
      <c r="D10" s="21" t="s">
        <v>51</v>
      </c>
      <c r="E10" s="23">
        <v>1200000</v>
      </c>
    </row>
    <row r="11" spans="2:5" ht="16" customHeight="1" x14ac:dyDescent="0.15">
      <c r="B11" s="22"/>
      <c r="C11" s="22" t="s">
        <v>17</v>
      </c>
      <c r="D11" s="21" t="s">
        <v>64</v>
      </c>
      <c r="E11" s="25">
        <v>0.16</v>
      </c>
    </row>
    <row r="12" spans="2:5" ht="16" customHeight="1" x14ac:dyDescent="0.15">
      <c r="B12" s="22"/>
      <c r="C12" s="22"/>
      <c r="D12" s="21" t="s">
        <v>55</v>
      </c>
      <c r="E12" s="20">
        <v>0</v>
      </c>
    </row>
    <row r="13" spans="2:5" ht="16" customHeight="1" x14ac:dyDescent="0.15">
      <c r="B13" s="21" t="s">
        <v>54</v>
      </c>
      <c r="C13" s="22" t="s">
        <v>67</v>
      </c>
      <c r="D13" s="21" t="s">
        <v>52</v>
      </c>
      <c r="E13" s="24">
        <v>46113</v>
      </c>
    </row>
    <row r="14" spans="2:5" ht="16" customHeight="1" x14ac:dyDescent="0.15">
      <c r="B14" s="22"/>
      <c r="C14" s="22" t="s">
        <v>68</v>
      </c>
      <c r="D14" s="21" t="s">
        <v>53</v>
      </c>
      <c r="E14" s="20">
        <v>16000</v>
      </c>
    </row>
    <row r="15" spans="2:5" ht="16" customHeight="1" x14ac:dyDescent="0.15">
      <c r="B15" s="22"/>
      <c r="C15" s="22"/>
      <c r="D15" s="32" t="s">
        <v>61</v>
      </c>
      <c r="E15" s="33">
        <f>E14-E12+E37</f>
        <v>16000</v>
      </c>
    </row>
    <row r="16" spans="2:5" ht="16" customHeight="1" x14ac:dyDescent="0.15">
      <c r="B16" s="22"/>
      <c r="C16" s="22"/>
      <c r="D16" s="32" t="s">
        <v>50</v>
      </c>
      <c r="E16" s="34">
        <v>46082</v>
      </c>
    </row>
    <row r="17" spans="2:5" x14ac:dyDescent="0.15">
      <c r="B17" s="15"/>
      <c r="C17" s="15"/>
      <c r="D17" s="15"/>
      <c r="E17" s="15"/>
    </row>
    <row r="18" spans="2:5" x14ac:dyDescent="0.15">
      <c r="B18" s="40" t="s">
        <v>62</v>
      </c>
      <c r="C18" s="40"/>
      <c r="D18" s="40"/>
      <c r="E18" s="40"/>
    </row>
    <row r="19" spans="2:5" ht="6" customHeight="1" x14ac:dyDescent="0.15">
      <c r="B19" s="14"/>
      <c r="C19" s="14"/>
      <c r="D19" s="14"/>
      <c r="E19" s="14"/>
    </row>
    <row r="20" spans="2:5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5" ht="16" customHeight="1" x14ac:dyDescent="0.15">
      <c r="B21" s="17">
        <v>45597</v>
      </c>
      <c r="C21" s="18" t="s">
        <v>69</v>
      </c>
      <c r="D21" s="19">
        <v>9333.33</v>
      </c>
      <c r="E21" s="20">
        <v>0</v>
      </c>
    </row>
    <row r="22" spans="2:5" ht="16" customHeight="1" x14ac:dyDescent="0.15">
      <c r="B22" s="17">
        <v>45627</v>
      </c>
      <c r="C22" s="18" t="s">
        <v>70</v>
      </c>
      <c r="D22" s="19">
        <v>9333.33</v>
      </c>
      <c r="E22" s="20">
        <v>0</v>
      </c>
    </row>
    <row r="23" spans="2:5" ht="16" customHeight="1" x14ac:dyDescent="0.15">
      <c r="B23" s="17">
        <v>45658</v>
      </c>
      <c r="C23" s="18" t="s">
        <v>71</v>
      </c>
      <c r="D23" s="19">
        <v>9333.33</v>
      </c>
      <c r="E23" s="20">
        <v>0</v>
      </c>
    </row>
    <row r="24" spans="2:5" ht="16" customHeight="1" x14ac:dyDescent="0.15">
      <c r="B24" s="17">
        <v>45689</v>
      </c>
      <c r="C24" s="18" t="s">
        <v>72</v>
      </c>
      <c r="D24" s="19">
        <v>9333.33</v>
      </c>
      <c r="E24" s="20">
        <v>0</v>
      </c>
    </row>
    <row r="25" spans="2:5" ht="16" customHeight="1" x14ac:dyDescent="0.15">
      <c r="B25" s="17">
        <v>45717</v>
      </c>
      <c r="C25" s="18" t="s">
        <v>73</v>
      </c>
      <c r="D25" s="19">
        <v>9333.33</v>
      </c>
      <c r="E25" s="20">
        <v>0</v>
      </c>
    </row>
    <row r="26" spans="2:5" ht="16" customHeight="1" x14ac:dyDescent="0.15">
      <c r="B26" s="17">
        <v>45748</v>
      </c>
      <c r="C26" s="18" t="s">
        <v>74</v>
      </c>
      <c r="D26" s="19">
        <v>9333.33</v>
      </c>
      <c r="E26" s="20">
        <v>0</v>
      </c>
    </row>
    <row r="27" spans="2:5" ht="16" customHeight="1" x14ac:dyDescent="0.15">
      <c r="B27" s="17">
        <v>45778</v>
      </c>
      <c r="C27" s="18" t="s">
        <v>75</v>
      </c>
      <c r="D27" s="19">
        <v>16000</v>
      </c>
      <c r="E27" s="20">
        <v>0</v>
      </c>
    </row>
    <row r="28" spans="2:5" ht="16" customHeight="1" x14ac:dyDescent="0.15">
      <c r="B28" s="17">
        <v>45809</v>
      </c>
      <c r="C28" s="18" t="s">
        <v>76</v>
      </c>
      <c r="D28" s="19">
        <v>16000</v>
      </c>
      <c r="E28" s="20">
        <v>0</v>
      </c>
    </row>
    <row r="29" spans="2:5" ht="16" customHeight="1" x14ac:dyDescent="0.15">
      <c r="B29" s="17">
        <v>45839</v>
      </c>
      <c r="C29" s="18" t="s">
        <v>77</v>
      </c>
      <c r="D29" s="19">
        <v>16000</v>
      </c>
      <c r="E29" s="20">
        <v>0</v>
      </c>
    </row>
    <row r="30" spans="2:5" ht="16" customHeight="1" x14ac:dyDescent="0.15">
      <c r="B30" s="17">
        <v>45870</v>
      </c>
      <c r="C30" s="18" t="s">
        <v>78</v>
      </c>
      <c r="D30" s="19">
        <v>16000</v>
      </c>
      <c r="E30" s="20">
        <v>0</v>
      </c>
    </row>
    <row r="31" spans="2:5" ht="16" customHeight="1" x14ac:dyDescent="0.15">
      <c r="B31" s="17">
        <v>45901</v>
      </c>
      <c r="C31" s="18" t="s">
        <v>79</v>
      </c>
      <c r="D31" s="19">
        <v>16000</v>
      </c>
      <c r="E31" s="20">
        <v>0</v>
      </c>
    </row>
    <row r="32" spans="2:5" ht="16" customHeight="1" x14ac:dyDescent="0.15">
      <c r="B32" s="17">
        <v>45931</v>
      </c>
      <c r="C32" s="18" t="s">
        <v>80</v>
      </c>
      <c r="D32" s="19">
        <v>16000</v>
      </c>
      <c r="E32" s="20">
        <v>0</v>
      </c>
    </row>
    <row r="33" spans="2:7" ht="16" customHeight="1" x14ac:dyDescent="0.15">
      <c r="B33" s="17">
        <v>45962</v>
      </c>
      <c r="C33" s="18" t="s">
        <v>65</v>
      </c>
      <c r="D33" s="19">
        <v>0</v>
      </c>
      <c r="E33" s="20">
        <v>16000</v>
      </c>
    </row>
    <row r="34" spans="2:7" ht="16" customHeight="1" x14ac:dyDescent="0.15">
      <c r="B34" s="17">
        <v>45993</v>
      </c>
      <c r="C34" s="18" t="s">
        <v>65</v>
      </c>
      <c r="D34" s="19">
        <v>16000</v>
      </c>
      <c r="E34" s="20">
        <v>0</v>
      </c>
    </row>
    <row r="35" spans="2:7" ht="16" customHeight="1" x14ac:dyDescent="0.15">
      <c r="B35" s="17">
        <v>45993</v>
      </c>
      <c r="C35" s="18" t="s">
        <v>97</v>
      </c>
      <c r="D35" s="19">
        <v>16000</v>
      </c>
      <c r="E35" s="20">
        <v>0</v>
      </c>
    </row>
    <row r="36" spans="2:7" ht="16" customHeight="1" x14ac:dyDescent="0.15">
      <c r="B36" s="41">
        <v>46029</v>
      </c>
      <c r="C36" s="42" t="s">
        <v>98</v>
      </c>
      <c r="D36" s="43">
        <v>16000</v>
      </c>
      <c r="E36" s="44">
        <v>0</v>
      </c>
    </row>
    <row r="37" spans="2:7" ht="16" customHeight="1" x14ac:dyDescent="0.15">
      <c r="B37" s="26">
        <v>46062</v>
      </c>
      <c r="C37" s="27" t="s">
        <v>99</v>
      </c>
      <c r="D37" s="28">
        <v>16000</v>
      </c>
      <c r="E37" s="29">
        <v>0</v>
      </c>
    </row>
    <row r="38" spans="2:7" ht="16" customHeight="1" x14ac:dyDescent="0.15">
      <c r="D38" s="19">
        <f>SUM(D21:D37)</f>
        <v>215999.98</v>
      </c>
    </row>
    <row r="43" spans="2:7" x14ac:dyDescent="0.15">
      <c r="B43" s="30" t="s">
        <v>81</v>
      </c>
      <c r="C43" s="30" t="s">
        <v>83</v>
      </c>
      <c r="D43" s="30" t="s">
        <v>84</v>
      </c>
      <c r="E43" s="30" t="s">
        <v>82</v>
      </c>
      <c r="F43" s="31">
        <v>-9333.33</v>
      </c>
      <c r="G43" s="31">
        <v>156596.47</v>
      </c>
    </row>
    <row r="44" spans="2:7" x14ac:dyDescent="0.15">
      <c r="B44" s="30" t="s">
        <v>85</v>
      </c>
      <c r="C44" s="30" t="s">
        <v>83</v>
      </c>
      <c r="D44" s="30" t="s">
        <v>84</v>
      </c>
      <c r="E44" s="30" t="s">
        <v>82</v>
      </c>
      <c r="F44" s="31">
        <v>-9333.33</v>
      </c>
      <c r="G44" s="31">
        <v>71071.81</v>
      </c>
    </row>
    <row r="45" spans="2:7" x14ac:dyDescent="0.15">
      <c r="B45" s="30" t="s">
        <v>86</v>
      </c>
      <c r="C45" s="30" t="s">
        <v>83</v>
      </c>
      <c r="D45" s="30" t="s">
        <v>84</v>
      </c>
      <c r="E45" s="30" t="s">
        <v>82</v>
      </c>
      <c r="F45" s="31">
        <v>-9333.33</v>
      </c>
      <c r="G45" s="31">
        <v>95126.56</v>
      </c>
    </row>
    <row r="46" spans="2:7" x14ac:dyDescent="0.15">
      <c r="B46" s="30" t="s">
        <v>87</v>
      </c>
      <c r="C46" s="30" t="s">
        <v>83</v>
      </c>
      <c r="D46" s="30" t="s">
        <v>84</v>
      </c>
      <c r="E46" s="30" t="s">
        <v>82</v>
      </c>
      <c r="F46" s="31">
        <v>-9333.33</v>
      </c>
      <c r="G46" s="31">
        <v>116203.49000000003</v>
      </c>
    </row>
    <row r="47" spans="2:7" x14ac:dyDescent="0.15">
      <c r="B47" s="30" t="s">
        <v>88</v>
      </c>
      <c r="C47" s="30" t="s">
        <v>83</v>
      </c>
      <c r="D47" s="30" t="s">
        <v>84</v>
      </c>
      <c r="E47" s="30" t="s">
        <v>82</v>
      </c>
      <c r="F47" s="31">
        <v>-9333.33</v>
      </c>
      <c r="G47" s="31">
        <v>83216.36000000003</v>
      </c>
    </row>
    <row r="48" spans="2:7" x14ac:dyDescent="0.15">
      <c r="B48" s="30" t="s">
        <v>89</v>
      </c>
      <c r="C48" s="30" t="s">
        <v>83</v>
      </c>
      <c r="D48" s="30" t="s">
        <v>84</v>
      </c>
      <c r="E48" s="30" t="s">
        <v>82</v>
      </c>
      <c r="F48" s="31">
        <v>-9333.33</v>
      </c>
      <c r="G48" s="31">
        <v>86292.650000000023</v>
      </c>
    </row>
    <row r="49" spans="2:7" x14ac:dyDescent="0.15">
      <c r="B49" s="30" t="s">
        <v>90</v>
      </c>
      <c r="C49" s="30" t="s">
        <v>83</v>
      </c>
      <c r="D49" s="30" t="s">
        <v>84</v>
      </c>
      <c r="E49" s="30" t="s">
        <v>82</v>
      </c>
      <c r="F49" s="31">
        <v>-9333.33</v>
      </c>
      <c r="G49" s="31">
        <v>6852.9500000000207</v>
      </c>
    </row>
    <row r="50" spans="2:7" x14ac:dyDescent="0.15">
      <c r="B50" s="30" t="s">
        <v>91</v>
      </c>
      <c r="C50" s="30" t="s">
        <v>83</v>
      </c>
      <c r="D50" s="30" t="s">
        <v>84</v>
      </c>
      <c r="E50" s="30" t="s">
        <v>82</v>
      </c>
      <c r="F50" s="31">
        <v>-16000</v>
      </c>
      <c r="G50" s="31">
        <v>56204.49000000002</v>
      </c>
    </row>
    <row r="51" spans="2:7" x14ac:dyDescent="0.15">
      <c r="B51" s="30" t="s">
        <v>92</v>
      </c>
      <c r="C51" s="30" t="s">
        <v>83</v>
      </c>
      <c r="D51" s="30" t="s">
        <v>84</v>
      </c>
      <c r="E51" s="30" t="s">
        <v>82</v>
      </c>
      <c r="F51" s="31">
        <v>-16000</v>
      </c>
      <c r="G51" s="31">
        <v>52646.160000000018</v>
      </c>
    </row>
    <row r="52" spans="2:7" x14ac:dyDescent="0.15">
      <c r="B52" s="30" t="s">
        <v>93</v>
      </c>
      <c r="C52" s="30" t="s">
        <v>83</v>
      </c>
      <c r="D52" s="30" t="s">
        <v>84</v>
      </c>
      <c r="E52" s="30" t="s">
        <v>82</v>
      </c>
      <c r="F52" s="31">
        <v>-16000</v>
      </c>
      <c r="G52" s="31">
        <v>30226.830000000016</v>
      </c>
    </row>
    <row r="53" spans="2:7" x14ac:dyDescent="0.15">
      <c r="B53" s="30" t="s">
        <v>94</v>
      </c>
      <c r="C53" s="30" t="s">
        <v>83</v>
      </c>
      <c r="D53" s="30" t="s">
        <v>84</v>
      </c>
      <c r="E53" s="30" t="s">
        <v>82</v>
      </c>
      <c r="F53" s="31">
        <v>-16000</v>
      </c>
      <c r="G53" s="31">
        <v>30442.000000000015</v>
      </c>
    </row>
    <row r="54" spans="2:7" x14ac:dyDescent="0.15">
      <c r="B54" s="30" t="s">
        <v>95</v>
      </c>
      <c r="C54" s="30" t="s">
        <v>83</v>
      </c>
      <c r="D54" s="30" t="s">
        <v>84</v>
      </c>
      <c r="E54" s="30" t="s">
        <v>82</v>
      </c>
      <c r="F54" s="31">
        <v>-16000</v>
      </c>
      <c r="G54" s="31">
        <v>36171.070000000022</v>
      </c>
    </row>
    <row r="55" spans="2:7" x14ac:dyDescent="0.15">
      <c r="B55" s="30" t="s">
        <v>96</v>
      </c>
      <c r="C55" s="30" t="s">
        <v>83</v>
      </c>
      <c r="D55" s="30" t="s">
        <v>84</v>
      </c>
      <c r="E55" s="30" t="s">
        <v>82</v>
      </c>
      <c r="F55" s="31">
        <v>-16000</v>
      </c>
      <c r="G55" s="31">
        <v>45457.630000000034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2026-01-23T15:16:25Z</cp:lastPrinted>
  <dcterms:created xsi:type="dcterms:W3CDTF">2023-12-21T20:04:42Z</dcterms:created>
  <dcterms:modified xsi:type="dcterms:W3CDTF">2026-02-24T15:16:37Z</dcterms:modified>
</cp:coreProperties>
</file>