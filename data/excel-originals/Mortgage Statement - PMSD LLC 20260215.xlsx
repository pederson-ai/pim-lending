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cepederson/Desktop/Desktop - Lance’s MacBook Pro/Passive Investing Mastery/"/>
    </mc:Choice>
  </mc:AlternateContent>
  <xr:revisionPtr revIDLastSave="0" documentId="8_{9F5EE499-AE99-BB46-BD6A-CE0568241EE4}" xr6:coauthVersionLast="47" xr6:coauthVersionMax="47" xr10:uidLastSave="{00000000-0000-0000-0000-000000000000}"/>
  <bookViews>
    <workbookView xWindow="1800" yWindow="1560" windowWidth="29580" windowHeight="20500" activeTab="1" xr2:uid="{132E6145-6101-244C-B106-65E37CBCCB6A}"/>
  </bookViews>
  <sheets>
    <sheet name="Sheet1" sheetId="1" r:id="rId1"/>
    <sheet name="Sheet2" sheetId="2" r:id="rId2"/>
  </sheets>
  <definedNames>
    <definedName name="_xlnm.Print_Area" localSheetId="0">Sheet1!$B$2:$K$64</definedName>
    <definedName name="_xlnm.Print_Area" localSheetId="1">Sheet2!$B$3:$E$31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E15" i="2"/>
  <c r="J37" i="1"/>
  <c r="J39" i="1" s="1"/>
  <c r="I37" i="1"/>
  <c r="I38" i="1" l="1"/>
  <c r="I39" i="1" s="1"/>
</calcChain>
</file>

<file path=xl/sharedStrings.xml><?xml version="1.0" encoding="utf-8"?>
<sst xmlns="http://schemas.openxmlformats.org/spreadsheetml/2006/main" count="84" uniqueCount="79">
  <si>
    <t>Principal Amount of New Loan</t>
  </si>
  <si>
    <t>Subtotals</t>
  </si>
  <si>
    <t>BORROWER</t>
  </si>
  <si>
    <t>Borrower</t>
  </si>
  <si>
    <t>Debit</t>
  </si>
  <si>
    <t>Credit</t>
  </si>
  <si>
    <t>Balance Due TO Borrower</t>
  </si>
  <si>
    <t>Recording Charges</t>
  </si>
  <si>
    <t>Loan Amounts</t>
  </si>
  <si>
    <t>Settlement Date</t>
  </si>
  <si>
    <t>Loan Number:</t>
  </si>
  <si>
    <t>Closing Agent:</t>
  </si>
  <si>
    <t>Closing Agent Email:</t>
  </si>
  <si>
    <t>lance@pimrapidlending.com</t>
  </si>
  <si>
    <t>Lance Pederson, CIO</t>
  </si>
  <si>
    <t>Borrower:</t>
  </si>
  <si>
    <t>14660 Falls of Neuse Rd, Ste 149-119</t>
  </si>
  <si>
    <t>Raleigh, NC 27614</t>
  </si>
  <si>
    <t>Lender:</t>
  </si>
  <si>
    <t>PIM Income Fund LLC, ISAOA</t>
  </si>
  <si>
    <t>Property:</t>
  </si>
  <si>
    <t>Amended and Final Settlement Statement</t>
  </si>
  <si>
    <t xml:space="preserve">       Portland, OR 97221</t>
  </si>
  <si>
    <t xml:space="preserve">       1750 SW Skyline Blvd, Ste 25</t>
  </si>
  <si>
    <t>Totals</t>
  </si>
  <si>
    <t>See signature page to follow.</t>
  </si>
  <si>
    <t xml:space="preserve">Borrower understands that the Closing Agent has assembled this Settlement Statement from the best available </t>
  </si>
  <si>
    <t>information available from other sources and cannot guarantee the accuracy thereof. The Lender invoived will</t>
  </si>
  <si>
    <t>be furnished a copy of this statement.</t>
  </si>
  <si>
    <t>By: _____________________________________________</t>
  </si>
  <si>
    <t xml:space="preserve">     Javier Hinojo, Manager</t>
  </si>
  <si>
    <t>PIM Rapid Lending LLC</t>
  </si>
  <si>
    <t xml:space="preserve">     Lance Pederson, President</t>
  </si>
  <si>
    <t>above and approve the same for payment.</t>
  </si>
  <si>
    <t>The undersigned hereby authorizes PIM Rapid Lending LLC to make expenditures and disbursements as shown</t>
  </si>
  <si>
    <t>Recording Fees</t>
  </si>
  <si>
    <t>Final Settlement Statement</t>
  </si>
  <si>
    <t>Payoff of Existing Loan</t>
  </si>
  <si>
    <t>Funding Reserve of $95,000</t>
  </si>
  <si>
    <t>4501 Gustine Ave LLC</t>
  </si>
  <si>
    <t>St. Louis, MO 63116</t>
  </si>
  <si>
    <t>4501 Gustine Ave</t>
  </si>
  <si>
    <t>December 31, 2024</t>
  </si>
  <si>
    <t>20250101067</t>
  </si>
  <si>
    <t>Reserve $130,720.80</t>
  </si>
  <si>
    <t>Interest Reserve</t>
  </si>
  <si>
    <t>Loan Charges $38,539.20</t>
  </si>
  <si>
    <t>Origination Fee to PIM Rapid Lending LLC (1% of $1,926,960)</t>
  </si>
  <si>
    <t>Origination Fee to PIM Income Fund LLC (1% of $1,926,960)</t>
  </si>
  <si>
    <t>4501 GUSTINE AVE LLC</t>
  </si>
  <si>
    <t>Due Date:</t>
  </si>
  <si>
    <t>Principal Balance:</t>
  </si>
  <si>
    <t>Maturity Date:</t>
  </si>
  <si>
    <t>Payment Amount:</t>
  </si>
  <si>
    <t>Property Address:</t>
  </si>
  <si>
    <t>Reserve Balance:</t>
  </si>
  <si>
    <t>Date</t>
  </si>
  <si>
    <t>Description</t>
  </si>
  <si>
    <t>1750 SW Skyline Blvd, Ste 25</t>
  </si>
  <si>
    <t>Portland, OR 97221</t>
  </si>
  <si>
    <t>Balance</t>
  </si>
  <si>
    <t>Amount Due:</t>
  </si>
  <si>
    <t>PAYMENT ACTIVITY</t>
  </si>
  <si>
    <t>Interest</t>
  </si>
  <si>
    <t>Interest Rate:</t>
  </si>
  <si>
    <t>Loan Payment - Oct 2025</t>
  </si>
  <si>
    <t>Loan Payment - Sep 2025</t>
  </si>
  <si>
    <t>Loan Payment - Aug 2025</t>
  </si>
  <si>
    <t>Loan Payment - Jul 2025</t>
  </si>
  <si>
    <t>Loan Payment - May 2025</t>
  </si>
  <si>
    <t>Loan Payment - Jun 2025</t>
  </si>
  <si>
    <t>PMSD LLC</t>
  </si>
  <si>
    <t>1100 S Air Depot Blvd</t>
  </si>
  <si>
    <t>Oklahoma City, OK 73110</t>
  </si>
  <si>
    <t>Pre-paid Interest (4/1/25 - 4/30/25)</t>
  </si>
  <si>
    <t>Loan Payment - Nov 2025</t>
  </si>
  <si>
    <t>Loan Payment - Dec 2025</t>
  </si>
  <si>
    <t>Mortgage Statement - 2/15/2026</t>
  </si>
  <si>
    <t>Loan Payment -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</si>
</sst>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m/d/yy;@"/>
  </numFmts>
  <fonts count="8" x14ac:knownFonts="1"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8"/>
      <name val="Calibri"/>
      <family val="2"/>
      <scheme val="minor"/>
    </font>
    <font>
      <i/>
      <sz val="10"/>
      <color theme="1"/>
      <name val="Verdana"/>
      <family val="2"/>
    </font>
    <font>
      <sz val="12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quotePrefix="1" applyFont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3" fontId="1" fillId="2" borderId="2" xfId="0" applyNumberFormat="1" applyFont="1" applyFill="1" applyBorder="1"/>
    <xf numFmtId="43" fontId="1" fillId="2" borderId="0" xfId="0" applyNumberFormat="1" applyFont="1" applyFill="1"/>
    <xf numFmtId="0" fontId="1" fillId="2" borderId="0" xfId="0" applyFont="1" applyFill="1" applyAlignment="1">
      <alignment horizontal="left" indent="1"/>
    </xf>
    <xf numFmtId="43" fontId="1" fillId="2" borderId="3" xfId="0" applyNumberFormat="1" applyFont="1" applyFill="1" applyBorder="1"/>
    <xf numFmtId="43" fontId="1" fillId="2" borderId="4" xfId="0" applyNumberFormat="1" applyFont="1" applyFill="1" applyBorder="1"/>
    <xf numFmtId="43" fontId="1" fillId="2" borderId="1" xfId="0" applyNumberFormat="1" applyFont="1" applyFill="1" applyBorder="1"/>
    <xf numFmtId="0" fontId="4" fillId="2" borderId="0" xfId="0" applyFont="1" applyFill="1" applyAlignment="1">
      <alignment horizontal="left" indent="3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8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6" fontId="6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10" fontId="6" fillId="0" borderId="0" xfId="1" applyNumberFormat="1" applyFont="1" applyFill="1" applyAlignment="1">
      <alignment vertical="center"/>
    </xf>
    <xf numFmtId="165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vertical="center"/>
    </xf>
    <xf numFmtId="8" fontId="6" fillId="0" borderId="1" xfId="0" applyNumberFormat="1" applyFont="1" applyBorder="1" applyAlignment="1">
      <alignment vertical="center"/>
    </xf>
    <xf numFmtId="164" fontId="6" fillId="0" borderId="0" xfId="0" applyNumberFormat="1" applyFont="1"/>
    <xf numFmtId="0" fontId="7" fillId="3" borderId="0" xfId="0" applyFont="1" applyFill="1" applyAlignment="1">
      <alignment vertical="center"/>
    </xf>
    <xf numFmtId="8" fontId="6" fillId="3" borderId="0" xfId="0" applyNumberFormat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6</xdr:col>
      <xdr:colOff>279400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D42B6-F9FB-AA2D-7D30-04E13EC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215900</xdr:colOff>
      <xdr:row>2</xdr:row>
      <xdr:rowOff>88901</xdr:rowOff>
    </xdr:from>
    <xdr:to>
      <xdr:col>2</xdr:col>
      <xdr:colOff>1446629</xdr:colOff>
      <xdr:row>5</xdr:row>
      <xdr:rowOff>83753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409C04-E1D4-CA44-8564-A74FD8F0C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419101"/>
          <a:ext cx="2590800" cy="490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C2A7-CDA9-9F49-8137-6F42D889B8D6}">
  <dimension ref="C4:J84"/>
  <sheetViews>
    <sheetView zoomScale="150" zoomScaleNormal="100" workbookViewId="0">
      <selection sqref="A1:XFD8"/>
    </sheetView>
  </sheetViews>
  <sheetFormatPr baseColWidth="10" defaultRowHeight="13" x14ac:dyDescent="0.15"/>
  <cols>
    <col min="1" max="1" width="3.6640625" style="1" customWidth="1"/>
    <col min="2" max="2" width="3.1640625" style="1" customWidth="1"/>
    <col min="3" max="3" width="19.6640625" style="1" customWidth="1"/>
    <col min="4" max="4" width="4.6640625" style="1" customWidth="1"/>
    <col min="5" max="6" width="2.83203125" style="1" customWidth="1"/>
    <col min="7" max="7" width="16.6640625" style="1" customWidth="1"/>
    <col min="8" max="8" width="19.5" style="1" customWidth="1"/>
    <col min="9" max="9" width="15.83203125" style="1" customWidth="1"/>
    <col min="10" max="10" width="14.83203125" style="1" customWidth="1"/>
    <col min="11" max="11" width="3.5" style="1" customWidth="1"/>
    <col min="12" max="16384" width="10.83203125" style="1"/>
  </cols>
  <sheetData>
    <row r="4" spans="3:7" x14ac:dyDescent="0.15">
      <c r="G4" s="1" t="s">
        <v>23</v>
      </c>
    </row>
    <row r="5" spans="3:7" x14ac:dyDescent="0.15">
      <c r="G5" s="1" t="s">
        <v>22</v>
      </c>
    </row>
    <row r="7" spans="3:7" x14ac:dyDescent="0.15">
      <c r="G7" s="2" t="s">
        <v>36</v>
      </c>
    </row>
    <row r="9" spans="3:7" ht="20" customHeight="1" x14ac:dyDescent="0.15">
      <c r="C9" s="2" t="s">
        <v>9</v>
      </c>
      <c r="D9" s="2"/>
      <c r="E9" s="3" t="s">
        <v>42</v>
      </c>
      <c r="F9" s="3"/>
      <c r="G9" s="3"/>
    </row>
    <row r="10" spans="3:7" ht="20" customHeight="1" x14ac:dyDescent="0.15">
      <c r="C10" s="2" t="s">
        <v>10</v>
      </c>
      <c r="D10" s="2"/>
      <c r="E10" s="3" t="s">
        <v>43</v>
      </c>
      <c r="F10" s="3"/>
      <c r="G10" s="3"/>
    </row>
    <row r="11" spans="3:7" ht="20" customHeight="1" x14ac:dyDescent="0.15">
      <c r="C11" s="2" t="s">
        <v>11</v>
      </c>
      <c r="D11" s="2"/>
      <c r="E11" s="1" t="s">
        <v>14</v>
      </c>
    </row>
    <row r="12" spans="3:7" ht="20" customHeight="1" x14ac:dyDescent="0.15">
      <c r="C12" s="2" t="s">
        <v>12</v>
      </c>
      <c r="D12" s="2"/>
      <c r="E12" s="3" t="s">
        <v>13</v>
      </c>
      <c r="F12" s="3"/>
      <c r="G12" s="3"/>
    </row>
    <row r="13" spans="3:7" ht="20" customHeight="1" x14ac:dyDescent="0.15">
      <c r="C13" s="2" t="s">
        <v>15</v>
      </c>
      <c r="D13" s="2"/>
      <c r="E13" s="1" t="s">
        <v>39</v>
      </c>
    </row>
    <row r="14" spans="3:7" ht="17" customHeight="1" x14ac:dyDescent="0.15">
      <c r="C14" s="2"/>
      <c r="D14" s="2"/>
      <c r="E14" s="1" t="s">
        <v>16</v>
      </c>
    </row>
    <row r="15" spans="3:7" ht="17" customHeight="1" x14ac:dyDescent="0.15">
      <c r="C15" s="2"/>
      <c r="D15" s="2"/>
      <c r="E15" s="1" t="s">
        <v>17</v>
      </c>
    </row>
    <row r="16" spans="3:7" ht="20" customHeight="1" x14ac:dyDescent="0.15">
      <c r="C16" s="2" t="s">
        <v>18</v>
      </c>
      <c r="D16" s="2"/>
      <c r="E16" s="1" t="s">
        <v>19</v>
      </c>
    </row>
    <row r="17" spans="3:10" ht="20" customHeight="1" x14ac:dyDescent="0.15">
      <c r="C17" s="2" t="s">
        <v>20</v>
      </c>
      <c r="D17" s="2"/>
      <c r="E17" s="1" t="s">
        <v>41</v>
      </c>
    </row>
    <row r="18" spans="3:10" ht="17" customHeight="1" x14ac:dyDescent="0.15">
      <c r="E18" s="1" t="s">
        <v>40</v>
      </c>
    </row>
    <row r="19" spans="3:10" ht="20" customHeight="1" x14ac:dyDescent="0.15">
      <c r="C19" s="4"/>
      <c r="D19" s="4"/>
      <c r="E19" s="4"/>
      <c r="F19" s="4"/>
      <c r="G19" s="4"/>
      <c r="H19" s="4"/>
      <c r="I19" s="4"/>
      <c r="J19" s="4"/>
    </row>
    <row r="20" spans="3:10" ht="20" customHeight="1" x14ac:dyDescent="0.15">
      <c r="I20" s="34" t="s">
        <v>3</v>
      </c>
      <c r="J20" s="34"/>
    </row>
    <row r="21" spans="3:10" ht="20" customHeight="1" x14ac:dyDescent="0.15">
      <c r="C21" s="4"/>
      <c r="D21" s="4"/>
      <c r="E21" s="4"/>
      <c r="F21" s="4"/>
      <c r="G21" s="4"/>
      <c r="H21" s="4"/>
      <c r="I21" s="5" t="s">
        <v>4</v>
      </c>
      <c r="J21" s="5" t="s">
        <v>5</v>
      </c>
    </row>
    <row r="22" spans="3:10" ht="20" customHeight="1" x14ac:dyDescent="0.15">
      <c r="C22" s="2" t="s">
        <v>8</v>
      </c>
      <c r="D22" s="2"/>
      <c r="E22" s="2"/>
      <c r="F22" s="2"/>
      <c r="G22" s="2"/>
      <c r="I22" s="6"/>
      <c r="J22" s="7"/>
    </row>
    <row r="23" spans="3:10" ht="20" customHeight="1" x14ac:dyDescent="0.15">
      <c r="C23" s="8" t="s">
        <v>37</v>
      </c>
      <c r="D23" s="2"/>
      <c r="E23" s="2"/>
      <c r="F23" s="2"/>
      <c r="G23" s="2"/>
      <c r="I23" s="9">
        <v>1757700</v>
      </c>
      <c r="J23" s="7"/>
    </row>
    <row r="24" spans="3:10" ht="20" customHeight="1" x14ac:dyDescent="0.15">
      <c r="C24" s="8" t="s">
        <v>0</v>
      </c>
      <c r="D24" s="8"/>
      <c r="E24" s="8"/>
      <c r="F24" s="8"/>
      <c r="G24" s="8"/>
      <c r="I24" s="9"/>
      <c r="J24" s="7">
        <v>1926960</v>
      </c>
    </row>
    <row r="25" spans="3:10" ht="19" customHeight="1" x14ac:dyDescent="0.15">
      <c r="C25" s="12" t="s">
        <v>38</v>
      </c>
      <c r="I25" s="9"/>
      <c r="J25" s="7"/>
    </row>
    <row r="26" spans="3:10" ht="12" customHeight="1" x14ac:dyDescent="0.15">
      <c r="I26" s="9"/>
      <c r="J26" s="7"/>
    </row>
    <row r="27" spans="3:10" ht="20" customHeight="1" x14ac:dyDescent="0.15">
      <c r="C27" s="2" t="s">
        <v>46</v>
      </c>
      <c r="D27" s="2"/>
      <c r="E27" s="2"/>
      <c r="F27" s="2"/>
      <c r="G27" s="2"/>
      <c r="I27" s="9"/>
      <c r="J27" s="7"/>
    </row>
    <row r="28" spans="3:10" ht="20" customHeight="1" x14ac:dyDescent="0.15">
      <c r="C28" s="8" t="s">
        <v>47</v>
      </c>
      <c r="D28" s="8"/>
      <c r="E28" s="8"/>
      <c r="F28" s="8"/>
      <c r="G28" s="8"/>
      <c r="I28" s="9">
        <v>19269.599999999999</v>
      </c>
      <c r="J28" s="7"/>
    </row>
    <row r="29" spans="3:10" ht="20" customHeight="1" x14ac:dyDescent="0.15">
      <c r="C29" s="8" t="s">
        <v>48</v>
      </c>
      <c r="D29" s="8"/>
      <c r="E29" s="8"/>
      <c r="F29" s="8"/>
      <c r="G29" s="8"/>
      <c r="I29" s="9">
        <v>19269.599999999999</v>
      </c>
      <c r="J29" s="7"/>
    </row>
    <row r="30" spans="3:10" ht="12" customHeight="1" x14ac:dyDescent="0.15">
      <c r="I30" s="9"/>
      <c r="J30" s="7"/>
    </row>
    <row r="31" spans="3:10" ht="20" customHeight="1" x14ac:dyDescent="0.15">
      <c r="C31" s="2" t="s">
        <v>44</v>
      </c>
      <c r="D31" s="2"/>
      <c r="E31" s="2"/>
      <c r="F31" s="2"/>
      <c r="G31" s="2"/>
      <c r="I31" s="9"/>
      <c r="J31" s="7"/>
    </row>
    <row r="32" spans="3:10" ht="20" customHeight="1" x14ac:dyDescent="0.15">
      <c r="C32" s="8" t="s">
        <v>45</v>
      </c>
      <c r="D32" s="8"/>
      <c r="E32" s="8"/>
      <c r="F32" s="8"/>
      <c r="G32" s="8"/>
      <c r="I32" s="9">
        <v>130720.8</v>
      </c>
      <c r="J32" s="7"/>
    </row>
    <row r="33" spans="3:10" ht="12" customHeight="1" x14ac:dyDescent="0.15">
      <c r="I33" s="9"/>
      <c r="J33" s="7"/>
    </row>
    <row r="34" spans="3:10" ht="20" customHeight="1" x14ac:dyDescent="0.15">
      <c r="C34" s="2" t="s">
        <v>7</v>
      </c>
      <c r="D34" s="2"/>
      <c r="E34" s="2"/>
      <c r="F34" s="2"/>
      <c r="G34" s="2"/>
      <c r="I34" s="9"/>
      <c r="J34" s="7"/>
    </row>
    <row r="35" spans="3:10" ht="20" customHeight="1" x14ac:dyDescent="0.15">
      <c r="C35" s="8" t="s">
        <v>35</v>
      </c>
      <c r="D35" s="8"/>
      <c r="E35" s="8"/>
      <c r="F35" s="8"/>
      <c r="G35" s="8"/>
      <c r="I35" s="9">
        <v>0</v>
      </c>
      <c r="J35" s="7"/>
    </row>
    <row r="36" spans="3:10" ht="20" customHeight="1" x14ac:dyDescent="0.15">
      <c r="C36" s="4"/>
      <c r="D36" s="4"/>
      <c r="E36" s="4"/>
      <c r="F36" s="4"/>
      <c r="G36" s="4"/>
      <c r="H36" s="4"/>
      <c r="I36" s="10"/>
      <c r="J36" s="11"/>
    </row>
    <row r="37" spans="3:10" ht="20" customHeight="1" x14ac:dyDescent="0.15">
      <c r="C37" s="1" t="s">
        <v>1</v>
      </c>
      <c r="I37" s="6">
        <f>SUM(I22:I36)</f>
        <v>1926960.0000000002</v>
      </c>
      <c r="J37" s="7">
        <f>SUM(J22:J36)</f>
        <v>1926960</v>
      </c>
    </row>
    <row r="38" spans="3:10" ht="20" customHeight="1" x14ac:dyDescent="0.15">
      <c r="C38" s="1" t="s">
        <v>6</v>
      </c>
      <c r="I38" s="9">
        <f>J37-I37</f>
        <v>0</v>
      </c>
      <c r="J38" s="7"/>
    </row>
    <row r="39" spans="3:10" ht="20" customHeight="1" x14ac:dyDescent="0.15">
      <c r="C39" s="4" t="s">
        <v>24</v>
      </c>
      <c r="D39" s="4"/>
      <c r="E39" s="4"/>
      <c r="F39" s="4"/>
      <c r="G39" s="4"/>
      <c r="H39" s="4"/>
      <c r="I39" s="10">
        <f>SUM(I37:I38)</f>
        <v>1926960.0000000002</v>
      </c>
      <c r="J39" s="11">
        <f>SUM(J37:J38)</f>
        <v>1926960</v>
      </c>
    </row>
    <row r="40" spans="3:10" ht="20" customHeight="1" x14ac:dyDescent="0.15">
      <c r="C40" s="35" t="s">
        <v>25</v>
      </c>
      <c r="D40" s="35"/>
      <c r="E40" s="35"/>
      <c r="F40" s="35"/>
      <c r="G40" s="35"/>
      <c r="H40" s="35"/>
      <c r="I40" s="35"/>
      <c r="J40" s="35"/>
    </row>
    <row r="41" spans="3:10" ht="20" customHeight="1" x14ac:dyDescent="0.15">
      <c r="C41" s="36"/>
      <c r="D41" s="36"/>
      <c r="E41" s="36"/>
      <c r="F41" s="36"/>
      <c r="G41" s="36"/>
      <c r="H41" s="36"/>
      <c r="I41" s="36"/>
      <c r="J41" s="36"/>
    </row>
    <row r="42" spans="3:10" ht="20" customHeight="1" x14ac:dyDescent="0.15">
      <c r="C42" s="37"/>
      <c r="D42" s="37"/>
      <c r="E42" s="37"/>
      <c r="F42" s="37"/>
      <c r="G42" s="37"/>
      <c r="H42" s="37"/>
      <c r="I42" s="37"/>
      <c r="J42" s="37"/>
    </row>
    <row r="43" spans="3:10" ht="20" customHeight="1" x14ac:dyDescent="0.15">
      <c r="I43" s="7"/>
      <c r="J43" s="7"/>
    </row>
    <row r="44" spans="3:10" ht="20" customHeight="1" x14ac:dyDescent="0.15">
      <c r="G44" s="2" t="s">
        <v>21</v>
      </c>
      <c r="I44" s="7"/>
      <c r="J44" s="7"/>
    </row>
    <row r="45" spans="3:10" ht="20" customHeight="1" x14ac:dyDescent="0.15">
      <c r="C45" s="2"/>
    </row>
    <row r="46" spans="3:10" ht="20" customHeight="1" x14ac:dyDescent="0.15">
      <c r="C46" s="1" t="s">
        <v>26</v>
      </c>
    </row>
    <row r="47" spans="3:10" ht="20" customHeight="1" x14ac:dyDescent="0.15">
      <c r="C47" s="1" t="s">
        <v>27</v>
      </c>
    </row>
    <row r="48" spans="3:10" ht="20" customHeight="1" x14ac:dyDescent="0.15">
      <c r="C48" s="1" t="s">
        <v>28</v>
      </c>
    </row>
    <row r="49" spans="3:3" ht="20" customHeight="1" x14ac:dyDescent="0.15"/>
    <row r="50" spans="3:3" ht="20" customHeight="1" x14ac:dyDescent="0.15">
      <c r="C50" s="1" t="s">
        <v>34</v>
      </c>
    </row>
    <row r="51" spans="3:3" ht="20" customHeight="1" x14ac:dyDescent="0.15">
      <c r="C51" s="1" t="s">
        <v>33</v>
      </c>
    </row>
    <row r="52" spans="3:3" ht="20" customHeight="1" x14ac:dyDescent="0.15"/>
    <row r="53" spans="3:3" ht="20" customHeight="1" x14ac:dyDescent="0.15">
      <c r="C53" s="1" t="s">
        <v>2</v>
      </c>
    </row>
    <row r="54" spans="3:3" ht="20" customHeight="1" x14ac:dyDescent="0.15"/>
    <row r="55" spans="3:3" ht="20" customHeight="1" x14ac:dyDescent="0.15">
      <c r="C55" s="2" t="s">
        <v>49</v>
      </c>
    </row>
    <row r="56" spans="3:3" ht="9" customHeight="1" x14ac:dyDescent="0.15"/>
    <row r="57" spans="3:3" ht="32" customHeight="1" x14ac:dyDescent="0.15">
      <c r="C57" s="1" t="s">
        <v>29</v>
      </c>
    </row>
    <row r="58" spans="3:3" ht="15" customHeight="1" x14ac:dyDescent="0.15">
      <c r="C58" s="1" t="s">
        <v>30</v>
      </c>
    </row>
    <row r="59" spans="3:3" ht="20" customHeight="1" x14ac:dyDescent="0.15"/>
    <row r="60" spans="3:3" ht="20" customHeight="1" x14ac:dyDescent="0.15">
      <c r="C60" s="2" t="s">
        <v>31</v>
      </c>
    </row>
    <row r="61" spans="3:3" ht="9" customHeight="1" x14ac:dyDescent="0.15"/>
    <row r="62" spans="3:3" ht="25" customHeight="1" x14ac:dyDescent="0.15">
      <c r="C62" s="1" t="s">
        <v>29</v>
      </c>
    </row>
    <row r="63" spans="3:3" ht="15" customHeight="1" x14ac:dyDescent="0.15">
      <c r="C63" s="1" t="s">
        <v>32</v>
      </c>
    </row>
    <row r="64" spans="3:3" ht="20" customHeight="1" x14ac:dyDescent="0.15"/>
    <row r="65" ht="20" customHeight="1" x14ac:dyDescent="0.15"/>
    <row r="66" ht="20" customHeight="1" x14ac:dyDescent="0.15"/>
    <row r="67" ht="20" customHeight="1" x14ac:dyDescent="0.15"/>
    <row r="68" ht="20" customHeight="1" x14ac:dyDescent="0.15"/>
    <row r="69" ht="20" customHeight="1" x14ac:dyDescent="0.15"/>
    <row r="70" ht="20" customHeight="1" x14ac:dyDescent="0.15"/>
    <row r="71" ht="20" customHeight="1" x14ac:dyDescent="0.15"/>
    <row r="72" ht="20" customHeight="1" x14ac:dyDescent="0.15"/>
    <row r="73" ht="20" customHeight="1" x14ac:dyDescent="0.15"/>
    <row r="74" ht="20" customHeight="1" x14ac:dyDescent="0.15"/>
    <row r="75" ht="20" customHeight="1" x14ac:dyDescent="0.15"/>
    <row r="76" ht="20" customHeight="1" x14ac:dyDescent="0.15"/>
    <row r="77" ht="20" customHeight="1" x14ac:dyDescent="0.15"/>
    <row r="78" ht="20" customHeight="1" x14ac:dyDescent="0.15"/>
    <row r="79" ht="20" customHeight="1" x14ac:dyDescent="0.15"/>
    <row r="80" ht="20" customHeight="1" x14ac:dyDescent="0.15"/>
    <row r="81" ht="20" customHeight="1" x14ac:dyDescent="0.15"/>
    <row r="82" ht="20" customHeight="1" x14ac:dyDescent="0.15"/>
    <row r="83" ht="20" customHeight="1" x14ac:dyDescent="0.15"/>
    <row r="84" ht="20" customHeight="1" x14ac:dyDescent="0.15"/>
  </sheetData>
  <mergeCells count="2">
    <mergeCell ref="I20:J20"/>
    <mergeCell ref="C40:J42"/>
  </mergeCells>
  <phoneticPr fontId="3" type="noConversion"/>
  <pageMargins left="0.7" right="0.7" top="0.75" bottom="0.75" header="0.3" footer="0.3"/>
  <pageSetup scale="81" fitToHeight="2" orientation="portrait" horizontalDpi="0" verticalDpi="0"/>
  <rowBreaks count="1" manualBreakCount="1">
    <brk id="43" min="1" max="10" man="1"/>
  </rowBreaks>
  <ignoredErrors>
    <ignoredError sqref="E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D378B-6B21-7844-84B4-5C643DA2996D}">
  <sheetPr>
    <pageSetUpPr fitToPage="1"/>
  </sheetPr>
  <dimension ref="B4:E31"/>
  <sheetViews>
    <sheetView tabSelected="1" topLeftCell="A5" zoomScale="176" zoomScaleNormal="176" workbookViewId="0">
      <selection activeCell="F16" sqref="F16"/>
    </sheetView>
  </sheetViews>
  <sheetFormatPr baseColWidth="10" defaultRowHeight="13" x14ac:dyDescent="0.15"/>
  <cols>
    <col min="1" max="1" width="10.83203125" style="13"/>
    <col min="2" max="2" width="17.83203125" style="13" customWidth="1"/>
    <col min="3" max="3" width="35" style="13" customWidth="1"/>
    <col min="4" max="4" width="18" style="13" customWidth="1"/>
    <col min="5" max="5" width="13.83203125" style="13" customWidth="1"/>
    <col min="6" max="6" width="11.5" style="13" bestFit="1" customWidth="1"/>
    <col min="7" max="7" width="10.83203125" style="13"/>
    <col min="8" max="8" width="16" style="13" customWidth="1"/>
    <col min="9" max="9" width="13" style="13" customWidth="1"/>
    <col min="10" max="16384" width="10.83203125" style="13"/>
  </cols>
  <sheetData>
    <row r="4" spans="2:5" x14ac:dyDescent="0.15">
      <c r="D4" s="13" t="s">
        <v>58</v>
      </c>
    </row>
    <row r="5" spans="2:5" x14ac:dyDescent="0.15">
      <c r="D5" s="13" t="s">
        <v>59</v>
      </c>
    </row>
    <row r="7" spans="2:5" x14ac:dyDescent="0.15">
      <c r="B7" s="38" t="s">
        <v>77</v>
      </c>
      <c r="C7" s="38"/>
      <c r="D7" s="38"/>
      <c r="E7" s="38"/>
    </row>
    <row r="9" spans="2:5" ht="16" customHeight="1" x14ac:dyDescent="0.15">
      <c r="B9" s="21" t="s">
        <v>15</v>
      </c>
      <c r="C9" s="22" t="s">
        <v>71</v>
      </c>
      <c r="D9" s="21" t="s">
        <v>10</v>
      </c>
      <c r="E9" s="22">
        <v>20250327001</v>
      </c>
    </row>
    <row r="10" spans="2:5" ht="16" customHeight="1" x14ac:dyDescent="0.15">
      <c r="B10" s="22"/>
      <c r="C10" s="22" t="s">
        <v>16</v>
      </c>
      <c r="D10" s="21" t="s">
        <v>51</v>
      </c>
      <c r="E10" s="23">
        <v>3412500</v>
      </c>
    </row>
    <row r="11" spans="2:5" ht="16" customHeight="1" x14ac:dyDescent="0.15">
      <c r="B11" s="22"/>
      <c r="C11" s="22" t="s">
        <v>17</v>
      </c>
      <c r="D11" s="21" t="s">
        <v>64</v>
      </c>
      <c r="E11" s="25">
        <v>0.13</v>
      </c>
    </row>
    <row r="12" spans="2:5" ht="16" customHeight="1" x14ac:dyDescent="0.15">
      <c r="B12" s="22"/>
      <c r="C12" s="22"/>
      <c r="D12" s="21" t="s">
        <v>55</v>
      </c>
      <c r="E12" s="20">
        <v>0</v>
      </c>
    </row>
    <row r="13" spans="2:5" ht="16" customHeight="1" x14ac:dyDescent="0.15">
      <c r="B13" s="21" t="s">
        <v>54</v>
      </c>
      <c r="C13" s="22" t="s">
        <v>72</v>
      </c>
      <c r="D13" s="21" t="s">
        <v>52</v>
      </c>
      <c r="E13" s="24">
        <v>46113</v>
      </c>
    </row>
    <row r="14" spans="2:5" ht="16" customHeight="1" x14ac:dyDescent="0.15">
      <c r="B14" s="22"/>
      <c r="C14" s="22" t="s">
        <v>73</v>
      </c>
      <c r="D14" s="21" t="s">
        <v>53</v>
      </c>
      <c r="E14" s="20">
        <v>36968.75</v>
      </c>
    </row>
    <row r="15" spans="2:5" ht="16" customHeight="1" x14ac:dyDescent="0.15">
      <c r="B15" s="22"/>
      <c r="C15" s="22"/>
      <c r="D15" s="31" t="s">
        <v>61</v>
      </c>
      <c r="E15" s="32">
        <f>E14-E12</f>
        <v>36968.75</v>
      </c>
    </row>
    <row r="16" spans="2:5" ht="16" customHeight="1" x14ac:dyDescent="0.15">
      <c r="B16" s="22"/>
      <c r="C16" s="22"/>
      <c r="D16" s="31" t="s">
        <v>50</v>
      </c>
      <c r="E16" s="33">
        <v>46082</v>
      </c>
    </row>
    <row r="17" spans="2:5" x14ac:dyDescent="0.15">
      <c r="B17" s="15"/>
      <c r="C17" s="15"/>
      <c r="D17" s="15"/>
      <c r="E17" s="15"/>
    </row>
    <row r="18" spans="2:5" x14ac:dyDescent="0.15">
      <c r="B18" s="39" t="s">
        <v>62</v>
      </c>
      <c r="C18" s="39"/>
      <c r="D18" s="39"/>
      <c r="E18" s="39"/>
    </row>
    <row r="19" spans="2:5" ht="6" customHeight="1" x14ac:dyDescent="0.15">
      <c r="B19" s="14"/>
      <c r="C19" s="14"/>
      <c r="D19" s="14"/>
      <c r="E19" s="14"/>
    </row>
    <row r="20" spans="2:5" ht="17" customHeight="1" x14ac:dyDescent="0.15">
      <c r="B20" s="16" t="s">
        <v>56</v>
      </c>
      <c r="C20" s="16" t="s">
        <v>57</v>
      </c>
      <c r="D20" s="16" t="s">
        <v>63</v>
      </c>
      <c r="E20" s="16" t="s">
        <v>60</v>
      </c>
    </row>
    <row r="21" spans="2:5" ht="16" customHeight="1" x14ac:dyDescent="0.15">
      <c r="B21" s="17">
        <v>45748</v>
      </c>
      <c r="C21" s="18" t="s">
        <v>74</v>
      </c>
      <c r="D21" s="19">
        <v>36968.75</v>
      </c>
      <c r="E21" s="20">
        <v>0</v>
      </c>
    </row>
    <row r="22" spans="2:5" ht="16" customHeight="1" x14ac:dyDescent="0.15">
      <c r="B22" s="17">
        <v>45811</v>
      </c>
      <c r="C22" s="18" t="s">
        <v>69</v>
      </c>
      <c r="D22" s="19">
        <v>36968.75</v>
      </c>
      <c r="E22" s="20">
        <v>0</v>
      </c>
    </row>
    <row r="23" spans="2:5" ht="16" customHeight="1" x14ac:dyDescent="0.15">
      <c r="B23" s="17">
        <v>45841</v>
      </c>
      <c r="C23" s="18" t="s">
        <v>70</v>
      </c>
      <c r="D23" s="19">
        <v>36968.75</v>
      </c>
      <c r="E23" s="20">
        <v>0</v>
      </c>
    </row>
    <row r="24" spans="2:5" ht="16" customHeight="1" x14ac:dyDescent="0.15">
      <c r="B24" s="17">
        <v>45874</v>
      </c>
      <c r="C24" s="18" t="s">
        <v>68</v>
      </c>
      <c r="D24" s="19">
        <v>36968.75</v>
      </c>
      <c r="E24" s="20">
        <v>0</v>
      </c>
    </row>
    <row r="25" spans="2:5" ht="16" customHeight="1" x14ac:dyDescent="0.15">
      <c r="B25" s="17">
        <v>45903</v>
      </c>
      <c r="C25" s="18" t="s">
        <v>67</v>
      </c>
      <c r="D25" s="19">
        <v>36968.75</v>
      </c>
      <c r="E25" s="20">
        <v>0</v>
      </c>
    </row>
    <row r="26" spans="2:5" ht="16" customHeight="1" x14ac:dyDescent="0.15">
      <c r="B26" s="17">
        <v>45933</v>
      </c>
      <c r="C26" s="18" t="s">
        <v>66</v>
      </c>
      <c r="D26" s="19">
        <v>36968.75</v>
      </c>
      <c r="E26" s="20">
        <v>0</v>
      </c>
    </row>
    <row r="27" spans="2:5" ht="16" customHeight="1" x14ac:dyDescent="0.15">
      <c r="B27" s="17">
        <v>45965</v>
      </c>
      <c r="C27" s="18" t="s">
        <v>65</v>
      </c>
      <c r="D27" s="19">
        <v>36968.75</v>
      </c>
      <c r="E27" s="20">
        <v>0</v>
      </c>
    </row>
    <row r="28" spans="2:5" ht="16" customHeight="1" x14ac:dyDescent="0.15">
      <c r="B28" s="17">
        <v>45994</v>
      </c>
      <c r="C28" s="18" t="s">
        <v>75</v>
      </c>
      <c r="D28" s="19">
        <v>36968.75</v>
      </c>
      <c r="E28" s="20">
        <v>0</v>
      </c>
    </row>
    <row r="29" spans="2:5" ht="16" customHeight="1" x14ac:dyDescent="0.15">
      <c r="B29" s="17">
        <v>46027</v>
      </c>
      <c r="C29" s="18" t="s">
        <v>76</v>
      </c>
      <c r="D29" s="19">
        <v>36968.75</v>
      </c>
      <c r="E29" s="20">
        <v>0</v>
      </c>
    </row>
    <row r="30" spans="2:5" ht="16" customHeight="1" x14ac:dyDescent="0.15">
      <c r="B30" s="26">
        <v>46057</v>
      </c>
      <c r="C30" s="27" t="s">
        <v>78</v>
      </c>
      <c r="D30" s="28">
        <v>36968.75</v>
      </c>
      <c r="E30" s="29">
        <v>0</v>
      </c>
    </row>
    <row r="31" spans="2:5" x14ac:dyDescent="0.15">
      <c r="D31" s="30">
        <f>SUM(D21:D30)</f>
        <v>369687.5</v>
      </c>
    </row>
  </sheetData>
  <mergeCells count="2">
    <mergeCell ref="B7:E7"/>
    <mergeCell ref="B18:E18"/>
  </mergeCells>
  <phoneticPr fontId="3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Lance Pederson</dc:creator>
  <cp:lastModifiedBy>Lance Pederson</cp:lastModifiedBy>
  <cp:lastPrinted>2026-01-23T15:15:17Z</cp:lastPrinted>
  <dcterms:created xsi:type="dcterms:W3CDTF">2023-12-21T20:04:42Z</dcterms:created>
  <dcterms:modified xsi:type="dcterms:W3CDTF">2026-02-24T15:47:49Z</dcterms:modified>
</cp:coreProperties>
</file>