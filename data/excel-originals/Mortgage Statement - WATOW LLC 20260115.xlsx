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13_ncr:1_{3BE102AE-C0DB-2842-8FB3-D2379F5EA4E1}" xr6:coauthVersionLast="47" xr6:coauthVersionMax="47" xr10:uidLastSave="{00000000-0000-0000-0000-000000000000}"/>
  <bookViews>
    <workbookView xWindow="4980" yWindow="9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2" i="2" s="1"/>
  <c r="E14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<sst xmlns="http://schemas.openxmlformats.org/spreadsheetml/2006/main" count="127" uniqueCount="86">
  <si>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</si>
  <si>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</si>
  <si>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</si>
  <si>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</si>
  <si>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</si>
  <si>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</si>
  <si>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</si>
  <si>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</si>
  <si>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</si>
  <si>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</si>
  <si>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</si>
  <si>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</si>
  <si>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</si>
  <si>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</si>
  <si>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</si>
  <si>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</si>
  <si>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</si>
  <si>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</si>
  <si>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</si>
  <si>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</si>
  <si>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</si>
  <si>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</si>
  <si>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</si>
  <si>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</si>
  <si>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</si>
  <si>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</si>
  <si>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</si>
  <si>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</si>
  <si>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</si>
  <si>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</si>
  <si>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</si>
  <si>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</si>
  <si>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</si>
  <si>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</si>
  <si>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</si>
  <si>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</si>
  <si>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</si>
  <si>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</si>
  <si>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</si>
  <si>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</si>
  <si>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</si>
  <si>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</si>
  <si>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</si>
  <si>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</si>
  <si>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</si>
  <si>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</si>
  <si>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</si>
  <si>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</si>
  <si>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</si>
  <si>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</si>
  <si>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</si>
  <si>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</si>
  <si>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</si>
  <si>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</si>
  <si>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</si>
  <si>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</si>
  <si>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</si>
  <si>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</si>
  <si>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</si>
  <si>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</si>
  <si>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</si>
  <si>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</si>
  <si>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</si>
  <si>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</si>
  <si>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</si>
  <si>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</si>
  <si>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</si>
  <si>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</si>
  <si>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</si>
  <si>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</si>
  <si>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</si>
  <si>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</si>
  <si>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</si>
  <si>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</si>
  <si>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</si>
  <si>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</si>
  <si>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</si>
  <si>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</si>
  <si>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</si>
  <si>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</si>
  <si>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</si>
  <si>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Mortgage Statement - 1/15/2026</t>
  </si>
  <si>
    <t>WATOW LLC</t>
  </si>
  <si>
    <t>426 S. Montgomery St</t>
  </si>
  <si>
    <t>Watertown, WI 53094</t>
  </si>
  <si>
    <t>Interest (12/19/25 - 12/31/25)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</si>
</sst>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4" fontId="6" fillId="0" borderId="6" xfId="0" applyNumberFormat="1" applyFont="1" applyBorder="1" applyAlignment="1">
      <alignment vertical="center"/>
    </xf>
    <xf numFmtId="8" fontId="6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5" t="s">
        <v>3</v>
      </c>
      <c r="J20" s="35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6" t="s">
        <v>25</v>
      </c>
      <c r="D40" s="36"/>
      <c r="E40" s="36"/>
      <c r="F40" s="36"/>
      <c r="G40" s="36"/>
      <c r="H40" s="36"/>
      <c r="I40" s="36"/>
      <c r="J40" s="36"/>
    </row>
    <row r="41" spans="3:10" ht="20" customHeight="1" x14ac:dyDescent="0.15">
      <c r="C41" s="37"/>
      <c r="D41" s="37"/>
      <c r="E41" s="37"/>
      <c r="F41" s="37"/>
      <c r="G41" s="37"/>
      <c r="H41" s="37"/>
      <c r="I41" s="37"/>
      <c r="J41" s="37"/>
    </row>
    <row r="42" spans="3:10" ht="20" customHeight="1" x14ac:dyDescent="0.15">
      <c r="C42" s="38"/>
      <c r="D42" s="38"/>
      <c r="E42" s="38"/>
      <c r="F42" s="38"/>
      <c r="G42" s="38"/>
      <c r="H42" s="38"/>
      <c r="I42" s="38"/>
      <c r="J42" s="38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39"/>
  <sheetViews>
    <sheetView tabSelected="1" zoomScale="141" zoomScaleNormal="141" workbookViewId="0">
      <selection activeCell="E24" sqref="E24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3" t="s">
        <v>81</v>
      </c>
      <c r="C7" s="33"/>
      <c r="D7" s="33"/>
      <c r="E7" s="33"/>
    </row>
    <row r="9" spans="2:5" ht="16" customHeight="1" x14ac:dyDescent="0.15">
      <c r="B9" s="19" t="s">
        <v>15</v>
      </c>
      <c r="C9" s="20" t="s">
        <v>82</v>
      </c>
      <c r="D9" s="19" t="s">
        <v>10</v>
      </c>
      <c r="E9" s="20">
        <v>20251219001</v>
      </c>
    </row>
    <row r="10" spans="2:5" ht="16" customHeight="1" x14ac:dyDescent="0.15">
      <c r="B10" s="20"/>
      <c r="C10" s="20" t="s">
        <v>16</v>
      </c>
      <c r="D10" s="19" t="s">
        <v>51</v>
      </c>
      <c r="E10" s="21">
        <v>438000</v>
      </c>
    </row>
    <row r="11" spans="2:5" ht="16" customHeight="1" x14ac:dyDescent="0.15">
      <c r="B11" s="20"/>
      <c r="C11" s="20" t="s">
        <v>17</v>
      </c>
      <c r="D11" s="19" t="s">
        <v>64</v>
      </c>
      <c r="E11" s="23">
        <v>0.13</v>
      </c>
    </row>
    <row r="12" spans="2:5" ht="16" customHeight="1" x14ac:dyDescent="0.15">
      <c r="B12" s="20"/>
      <c r="C12" s="20"/>
      <c r="D12" s="19" t="s">
        <v>55</v>
      </c>
      <c r="E12" s="18">
        <v>0</v>
      </c>
    </row>
    <row r="13" spans="2:5" ht="16" customHeight="1" x14ac:dyDescent="0.15">
      <c r="B13" s="19" t="s">
        <v>54</v>
      </c>
      <c r="C13" s="20" t="s">
        <v>83</v>
      </c>
      <c r="D13" s="19" t="s">
        <v>52</v>
      </c>
      <c r="E13" s="22">
        <v>46419</v>
      </c>
    </row>
    <row r="14" spans="2:5" ht="16" customHeight="1" x14ac:dyDescent="0.15">
      <c r="B14" s="20"/>
      <c r="C14" s="20" t="s">
        <v>84</v>
      </c>
      <c r="D14" s="19" t="s">
        <v>53</v>
      </c>
      <c r="E14" s="18">
        <f>(E10*E11)/12</f>
        <v>4745</v>
      </c>
    </row>
    <row r="15" spans="2:5" ht="16" customHeight="1" x14ac:dyDescent="0.15">
      <c r="B15" s="20"/>
      <c r="C15" s="20"/>
      <c r="D15" s="26" t="s">
        <v>61</v>
      </c>
      <c r="E15" s="27">
        <v>0</v>
      </c>
    </row>
    <row r="16" spans="2:5" ht="16" customHeight="1" x14ac:dyDescent="0.15">
      <c r="B16" s="20"/>
      <c r="C16" s="20"/>
      <c r="D16" s="26" t="s">
        <v>50</v>
      </c>
      <c r="E16" s="28">
        <v>46054</v>
      </c>
    </row>
    <row r="17" spans="2:7" x14ac:dyDescent="0.15">
      <c r="B17" s="15"/>
      <c r="C17" s="15"/>
      <c r="D17" s="15"/>
      <c r="E17" s="15"/>
    </row>
    <row r="18" spans="2:7" x14ac:dyDescent="0.15">
      <c r="B18" s="34" t="s">
        <v>62</v>
      </c>
      <c r="C18" s="34"/>
      <c r="D18" s="34"/>
      <c r="E18" s="34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7" ht="16" customHeight="1" x14ac:dyDescent="0.15">
      <c r="B21" s="29">
        <v>46023</v>
      </c>
      <c r="C21" s="30" t="s">
        <v>85</v>
      </c>
      <c r="D21" s="31">
        <f>(E10*E11)/360*18</f>
        <v>2847</v>
      </c>
      <c r="E21" s="32">
        <v>2847</v>
      </c>
    </row>
    <row r="22" spans="2:7" ht="16" customHeight="1" x14ac:dyDescent="0.15">
      <c r="D22" s="17">
        <f>SUM(D21:D21)</f>
        <v>2847</v>
      </c>
    </row>
    <row r="27" spans="2:7" x14ac:dyDescent="0.15">
      <c r="B27" s="24" t="s">
        <v>65</v>
      </c>
      <c r="C27" s="24" t="s">
        <v>67</v>
      </c>
      <c r="D27" s="24" t="s">
        <v>68</v>
      </c>
      <c r="E27" s="24" t="s">
        <v>66</v>
      </c>
      <c r="F27" s="25">
        <v>-9333.33</v>
      </c>
      <c r="G27" s="25">
        <v>156596.47</v>
      </c>
    </row>
    <row r="28" spans="2:7" x14ac:dyDescent="0.15">
      <c r="B28" s="24" t="s">
        <v>69</v>
      </c>
      <c r="C28" s="24" t="s">
        <v>67</v>
      </c>
      <c r="D28" s="24" t="s">
        <v>68</v>
      </c>
      <c r="E28" s="24" t="s">
        <v>66</v>
      </c>
      <c r="F28" s="25">
        <v>-9333.33</v>
      </c>
      <c r="G28" s="25">
        <v>71071.81</v>
      </c>
    </row>
    <row r="29" spans="2:7" x14ac:dyDescent="0.15">
      <c r="B29" s="24" t="s">
        <v>70</v>
      </c>
      <c r="C29" s="24" t="s">
        <v>67</v>
      </c>
      <c r="D29" s="24" t="s">
        <v>68</v>
      </c>
      <c r="E29" s="24" t="s">
        <v>66</v>
      </c>
      <c r="F29" s="25">
        <v>-9333.33</v>
      </c>
      <c r="G29" s="25">
        <v>95126.56</v>
      </c>
    </row>
    <row r="30" spans="2:7" x14ac:dyDescent="0.15">
      <c r="B30" s="24" t="s">
        <v>71</v>
      </c>
      <c r="C30" s="24" t="s">
        <v>67</v>
      </c>
      <c r="D30" s="24" t="s">
        <v>68</v>
      </c>
      <c r="E30" s="24" t="s">
        <v>66</v>
      </c>
      <c r="F30" s="25">
        <v>-9333.33</v>
      </c>
      <c r="G30" s="25">
        <v>116203.49000000003</v>
      </c>
    </row>
    <row r="31" spans="2:7" x14ac:dyDescent="0.15">
      <c r="B31" s="24" t="s">
        <v>72</v>
      </c>
      <c r="C31" s="24" t="s">
        <v>67</v>
      </c>
      <c r="D31" s="24" t="s">
        <v>68</v>
      </c>
      <c r="E31" s="24" t="s">
        <v>66</v>
      </c>
      <c r="F31" s="25">
        <v>-9333.33</v>
      </c>
      <c r="G31" s="25">
        <v>83216.36000000003</v>
      </c>
    </row>
    <row r="32" spans="2:7" x14ac:dyDescent="0.15">
      <c r="B32" s="24" t="s">
        <v>73</v>
      </c>
      <c r="C32" s="24" t="s">
        <v>67</v>
      </c>
      <c r="D32" s="24" t="s">
        <v>68</v>
      </c>
      <c r="E32" s="24" t="s">
        <v>66</v>
      </c>
      <c r="F32" s="25">
        <v>-9333.33</v>
      </c>
      <c r="G32" s="25">
        <v>86292.650000000023</v>
      </c>
    </row>
    <row r="33" spans="2:7" x14ac:dyDescent="0.15">
      <c r="B33" s="24" t="s">
        <v>74</v>
      </c>
      <c r="C33" s="24" t="s">
        <v>67</v>
      </c>
      <c r="D33" s="24" t="s">
        <v>68</v>
      </c>
      <c r="E33" s="24" t="s">
        <v>66</v>
      </c>
      <c r="F33" s="25">
        <v>-9333.33</v>
      </c>
      <c r="G33" s="25">
        <v>6852.9500000000207</v>
      </c>
    </row>
    <row r="34" spans="2:7" x14ac:dyDescent="0.15">
      <c r="B34" s="24" t="s">
        <v>75</v>
      </c>
      <c r="C34" s="24" t="s">
        <v>67</v>
      </c>
      <c r="D34" s="24" t="s">
        <v>68</v>
      </c>
      <c r="E34" s="24" t="s">
        <v>66</v>
      </c>
      <c r="F34" s="25">
        <v>-16000</v>
      </c>
      <c r="G34" s="25">
        <v>56204.49000000002</v>
      </c>
    </row>
    <row r="35" spans="2:7" x14ac:dyDescent="0.15">
      <c r="B35" s="24" t="s">
        <v>76</v>
      </c>
      <c r="C35" s="24" t="s">
        <v>67</v>
      </c>
      <c r="D35" s="24" t="s">
        <v>68</v>
      </c>
      <c r="E35" s="24" t="s">
        <v>66</v>
      </c>
      <c r="F35" s="25">
        <v>-16000</v>
      </c>
      <c r="G35" s="25">
        <v>52646.160000000018</v>
      </c>
    </row>
    <row r="36" spans="2:7" x14ac:dyDescent="0.15">
      <c r="B36" s="24" t="s">
        <v>77</v>
      </c>
      <c r="C36" s="24" t="s">
        <v>67</v>
      </c>
      <c r="D36" s="24" t="s">
        <v>68</v>
      </c>
      <c r="E36" s="24" t="s">
        <v>66</v>
      </c>
      <c r="F36" s="25">
        <v>-16000</v>
      </c>
      <c r="G36" s="25">
        <v>30226.830000000016</v>
      </c>
    </row>
    <row r="37" spans="2:7" x14ac:dyDescent="0.15">
      <c r="B37" s="24" t="s">
        <v>78</v>
      </c>
      <c r="C37" s="24" t="s">
        <v>67</v>
      </c>
      <c r="D37" s="24" t="s">
        <v>68</v>
      </c>
      <c r="E37" s="24" t="s">
        <v>66</v>
      </c>
      <c r="F37" s="25">
        <v>-16000</v>
      </c>
      <c r="G37" s="25">
        <v>30442.000000000015</v>
      </c>
    </row>
    <row r="38" spans="2:7" x14ac:dyDescent="0.15">
      <c r="B38" s="24" t="s">
        <v>79</v>
      </c>
      <c r="C38" s="24" t="s">
        <v>67</v>
      </c>
      <c r="D38" s="24" t="s">
        <v>68</v>
      </c>
      <c r="E38" s="24" t="s">
        <v>66</v>
      </c>
      <c r="F38" s="25">
        <v>-16000</v>
      </c>
      <c r="G38" s="25">
        <v>36171.070000000022</v>
      </c>
    </row>
    <row r="39" spans="2:7" x14ac:dyDescent="0.15">
      <c r="B39" s="24" t="s">
        <v>80</v>
      </c>
      <c r="C39" s="24" t="s">
        <v>67</v>
      </c>
      <c r="D39" s="24" t="s">
        <v>68</v>
      </c>
      <c r="E39" s="24" t="s">
        <v>66</v>
      </c>
      <c r="F39" s="25">
        <v>-16000</v>
      </c>
      <c r="G39" s="25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2026-01-23T15:24:47Z</cp:lastPrinted>
  <dcterms:created xsi:type="dcterms:W3CDTF">2023-12-21T20:04:42Z</dcterms:created>
  <dcterms:modified xsi:type="dcterms:W3CDTF">2026-01-23T15:42:21Z</dcterms:modified>
</cp:coreProperties>
</file>