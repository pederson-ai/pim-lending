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ownloads/"/>
    </mc:Choice>
  </mc:AlternateContent>
  <xr:revisionPtr revIDLastSave="0" documentId="13_ncr:1_{9250F413-A578-0548-A813-F2AF5A731630}" xr6:coauthVersionLast="47" xr6:coauthVersionMax="47" xr10:uidLastSave="{00000000-0000-0000-0000-000000000000}"/>
  <bookViews>
    <workbookView xWindow="3000" yWindow="8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2" l="1"/>
  <c r="E15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<sst xmlns="http://schemas.openxmlformats.org/spreadsheetml/2006/main" count="83" uniqueCount="78">
  <si>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</si>
  <si>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</si>
  <si>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</si>
  <si>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</si>
  <si>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</si>
  <si>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</si>
  <si>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</si>
  <si>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</si>
  <si>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</si>
  <si>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</si>
  <si>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</si>
  <si>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</si>
  <si>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</si>
  <si>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</si>
  <si>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</si>
  <si>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</si>
  <si>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</si>
  <si>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</si>
  <si>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</si>
  <si>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</si>
  <si>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</si>
  <si>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</si>
  <si>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</si>
  <si>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</si>
  <si>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</si>
  <si>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</si>
  <si>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</si>
  <si>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</si>
  <si>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</si>
  <si>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</si>
  <si>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</si>
  <si>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</si>
  <si>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</si>
  <si>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</si>
  <si>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</si>
  <si>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</si>
  <si>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</si>
  <si>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</si>
  <si>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</si>
  <si>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</si>
  <si>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</si>
  <si>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</si>
  <si>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</si>
  <si>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</si>
  <si>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</si>
  <si>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</si>
  <si>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</si>
  <si>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</si>
  <si>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</si>
  <si>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</si>
  <si>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</si>
  <si>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</si>
  <si>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</si>
  <si>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</si>
  <si>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</si>
  <si>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</si>
  <si>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</si>
  <si>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</si>
  <si>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</si>
  <si>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</si>
  <si>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</si>
  <si>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</si>
  <si>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</si>
  <si>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</si>
  <si>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</si>
  <si>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Loan Payment - Oct 2025</t>
  </si>
  <si>
    <t>Loan Payment - Sep 2025</t>
  </si>
  <si>
    <t>Loan Payment - Aug 2025</t>
  </si>
  <si>
    <t>Loan Payment - Jul 2025</t>
  </si>
  <si>
    <t>Loan Payment - May 2025</t>
  </si>
  <si>
    <t>Loan Payment - Jun 2025</t>
  </si>
  <si>
    <t>PMSD LLC</t>
  </si>
  <si>
    <t>1100 S Air Depot Blvd</t>
  </si>
  <si>
    <t>Oklahoma City, OK 73110</t>
  </si>
  <si>
    <t>Pre-paid Interest (4/1/25 - 4/30/25)</t>
  </si>
  <si>
    <t>Mortgage Statement - 1/15/2026</t>
  </si>
  <si>
    <t>Loan Payment - Nov 2025</t>
  </si>
  <si>
    <t>Loan Payment -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</si>
</sst>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164" fontId="6" fillId="0" borderId="0" xfId="0" applyNumberFormat="1" applyFont="1"/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/>
    </xf>
    <xf numFmtId="8" fontId="6" fillId="0" borderId="0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6" t="s">
        <v>3</v>
      </c>
      <c r="J20" s="36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7" t="s">
        <v>25</v>
      </c>
      <c r="D40" s="37"/>
      <c r="E40" s="37"/>
      <c r="F40" s="37"/>
      <c r="G40" s="37"/>
      <c r="H40" s="37"/>
      <c r="I40" s="37"/>
      <c r="J40" s="37"/>
    </row>
    <row r="41" spans="3:10" ht="20" customHeight="1" x14ac:dyDescent="0.15">
      <c r="C41" s="38"/>
      <c r="D41" s="38"/>
      <c r="E41" s="38"/>
      <c r="F41" s="38"/>
      <c r="G41" s="38"/>
      <c r="H41" s="38"/>
      <c r="I41" s="38"/>
      <c r="J41" s="38"/>
    </row>
    <row r="42" spans="3:10" ht="20" customHeight="1" x14ac:dyDescent="0.15">
      <c r="C42" s="39"/>
      <c r="D42" s="39"/>
      <c r="E42" s="39"/>
      <c r="F42" s="39"/>
      <c r="G42" s="39"/>
      <c r="H42" s="39"/>
      <c r="I42" s="39"/>
      <c r="J42" s="39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E30"/>
  <sheetViews>
    <sheetView tabSelected="1" topLeftCell="A3" zoomScale="176" zoomScaleNormal="176" workbookViewId="0">
      <selection activeCell="C21" sqref="C21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34" t="s">
        <v>75</v>
      </c>
      <c r="C7" s="34"/>
      <c r="D7" s="34"/>
      <c r="E7" s="34"/>
    </row>
    <row r="9" spans="2:5" ht="16" customHeight="1" x14ac:dyDescent="0.15">
      <c r="B9" s="21" t="s">
        <v>15</v>
      </c>
      <c r="C9" s="22" t="s">
        <v>71</v>
      </c>
      <c r="D9" s="21" t="s">
        <v>10</v>
      </c>
      <c r="E9" s="22">
        <v>20250327001</v>
      </c>
    </row>
    <row r="10" spans="2:5" ht="16" customHeight="1" x14ac:dyDescent="0.15">
      <c r="B10" s="22"/>
      <c r="C10" s="22" t="s">
        <v>16</v>
      </c>
      <c r="D10" s="21" t="s">
        <v>51</v>
      </c>
      <c r="E10" s="23">
        <v>3412500</v>
      </c>
    </row>
    <row r="11" spans="2:5" ht="16" customHeight="1" x14ac:dyDescent="0.15">
      <c r="B11" s="22"/>
      <c r="C11" s="22" t="s">
        <v>17</v>
      </c>
      <c r="D11" s="21" t="s">
        <v>64</v>
      </c>
      <c r="E11" s="25">
        <v>0.13</v>
      </c>
    </row>
    <row r="12" spans="2:5" ht="16" customHeight="1" x14ac:dyDescent="0.15">
      <c r="B12" s="22"/>
      <c r="C12" s="22"/>
      <c r="D12" s="21" t="s">
        <v>55</v>
      </c>
      <c r="E12" s="20">
        <v>0</v>
      </c>
    </row>
    <row r="13" spans="2:5" ht="16" customHeight="1" x14ac:dyDescent="0.15">
      <c r="B13" s="21" t="s">
        <v>54</v>
      </c>
      <c r="C13" s="22" t="s">
        <v>72</v>
      </c>
      <c r="D13" s="21" t="s">
        <v>52</v>
      </c>
      <c r="E13" s="24">
        <v>46113</v>
      </c>
    </row>
    <row r="14" spans="2:5" ht="16" customHeight="1" x14ac:dyDescent="0.15">
      <c r="B14" s="22"/>
      <c r="C14" s="22" t="s">
        <v>73</v>
      </c>
      <c r="D14" s="21" t="s">
        <v>53</v>
      </c>
      <c r="E14" s="20">
        <v>36968.75</v>
      </c>
    </row>
    <row r="15" spans="2:5" ht="16" customHeight="1" x14ac:dyDescent="0.15">
      <c r="B15" s="22"/>
      <c r="C15" s="22"/>
      <c r="D15" s="31" t="s">
        <v>61</v>
      </c>
      <c r="E15" s="32">
        <f>E14-E12</f>
        <v>36968.75</v>
      </c>
    </row>
    <row r="16" spans="2:5" ht="16" customHeight="1" x14ac:dyDescent="0.15">
      <c r="B16" s="22"/>
      <c r="C16" s="22"/>
      <c r="D16" s="31" t="s">
        <v>50</v>
      </c>
      <c r="E16" s="33">
        <v>46054</v>
      </c>
    </row>
    <row r="17" spans="2:5" x14ac:dyDescent="0.15">
      <c r="B17" s="15"/>
      <c r="C17" s="15"/>
      <c r="D17" s="15"/>
      <c r="E17" s="15"/>
    </row>
    <row r="18" spans="2:5" x14ac:dyDescent="0.15">
      <c r="B18" s="35" t="s">
        <v>62</v>
      </c>
      <c r="C18" s="35"/>
      <c r="D18" s="35"/>
      <c r="E18" s="35"/>
    </row>
    <row r="19" spans="2:5" ht="6" customHeight="1" x14ac:dyDescent="0.15">
      <c r="B19" s="14"/>
      <c r="C19" s="14"/>
      <c r="D19" s="14"/>
      <c r="E19" s="14"/>
    </row>
    <row r="20" spans="2:5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5" ht="16" customHeight="1" x14ac:dyDescent="0.15">
      <c r="B21" s="17">
        <v>45748</v>
      </c>
      <c r="C21" s="18" t="s">
        <v>74</v>
      </c>
      <c r="D21" s="19">
        <v>36968.75</v>
      </c>
      <c r="E21" s="20">
        <v>0</v>
      </c>
    </row>
    <row r="22" spans="2:5" ht="16" customHeight="1" x14ac:dyDescent="0.15">
      <c r="B22" s="17">
        <v>45811</v>
      </c>
      <c r="C22" s="18" t="s">
        <v>69</v>
      </c>
      <c r="D22" s="19">
        <v>36968.75</v>
      </c>
      <c r="E22" s="20">
        <v>0</v>
      </c>
    </row>
    <row r="23" spans="2:5" ht="16" customHeight="1" x14ac:dyDescent="0.15">
      <c r="B23" s="17">
        <v>45841</v>
      </c>
      <c r="C23" s="18" t="s">
        <v>70</v>
      </c>
      <c r="D23" s="19">
        <v>36968.75</v>
      </c>
      <c r="E23" s="20">
        <v>0</v>
      </c>
    </row>
    <row r="24" spans="2:5" ht="16" customHeight="1" x14ac:dyDescent="0.15">
      <c r="B24" s="17">
        <v>45874</v>
      </c>
      <c r="C24" s="18" t="s">
        <v>68</v>
      </c>
      <c r="D24" s="19">
        <v>36968.75</v>
      </c>
      <c r="E24" s="20">
        <v>0</v>
      </c>
    </row>
    <row r="25" spans="2:5" ht="16" customHeight="1" x14ac:dyDescent="0.15">
      <c r="B25" s="17">
        <v>45903</v>
      </c>
      <c r="C25" s="18" t="s">
        <v>67</v>
      </c>
      <c r="D25" s="19">
        <v>36968.75</v>
      </c>
      <c r="E25" s="20">
        <v>0</v>
      </c>
    </row>
    <row r="26" spans="2:5" ht="16" customHeight="1" x14ac:dyDescent="0.15">
      <c r="B26" s="17">
        <v>45933</v>
      </c>
      <c r="C26" s="18" t="s">
        <v>66</v>
      </c>
      <c r="D26" s="19">
        <v>36968.75</v>
      </c>
      <c r="E26" s="20">
        <v>0</v>
      </c>
    </row>
    <row r="27" spans="2:5" ht="16" customHeight="1" x14ac:dyDescent="0.15">
      <c r="B27" s="40">
        <v>45965</v>
      </c>
      <c r="C27" s="41" t="s">
        <v>65</v>
      </c>
      <c r="D27" s="42">
        <v>36968.75</v>
      </c>
      <c r="E27" s="43">
        <v>0</v>
      </c>
    </row>
    <row r="28" spans="2:5" ht="16" customHeight="1" x14ac:dyDescent="0.15">
      <c r="B28" s="40">
        <v>45994</v>
      </c>
      <c r="C28" s="41" t="s">
        <v>76</v>
      </c>
      <c r="D28" s="42">
        <v>36968.75</v>
      </c>
      <c r="E28" s="43">
        <v>0</v>
      </c>
    </row>
    <row r="29" spans="2:5" ht="16" customHeight="1" x14ac:dyDescent="0.15">
      <c r="B29" s="26">
        <v>46027</v>
      </c>
      <c r="C29" s="27" t="s">
        <v>77</v>
      </c>
      <c r="D29" s="28">
        <v>36968.75</v>
      </c>
      <c r="E29" s="29">
        <v>0</v>
      </c>
    </row>
    <row r="30" spans="2:5" x14ac:dyDescent="0.15">
      <c r="D30" s="30">
        <f>SUM(D21:D29)</f>
        <v>332718.75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2026-01-23T15:15:17Z</cp:lastPrinted>
  <dcterms:created xsi:type="dcterms:W3CDTF">2023-12-21T20:04:42Z</dcterms:created>
  <dcterms:modified xsi:type="dcterms:W3CDTF">2026-01-23T15:17:40Z</dcterms:modified>
</cp:coreProperties>
</file>